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athe\Desktop\chronologies\separate chronologies\border cave\"/>
    </mc:Choice>
  </mc:AlternateContent>
  <xr:revisionPtr revIDLastSave="0" documentId="8_{B29FAA1B-853B-4ADE-B8E5-D313E183D49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<sst xmlns="http://schemas.openxmlformats.org/spreadsheetml/2006/main" count="20" uniqueCount="20">
  <si>
    <t>Assemblage_Layer</t>
  </si>
  <si>
    <t>Min_Age_ka</t>
  </si>
  <si>
    <t>Max_Age_ka</t>
  </si>
  <si>
    <t>Lithic_Piece_Count</t>
  </si>
  <si>
    <t>Layer 1 BS LR B+C</t>
  </si>
  <si>
    <t>Layer 1 GBS LR</t>
  </si>
  <si>
    <t>Layer 1 GBS UP</t>
  </si>
  <si>
    <t>Layer 1 RGBS</t>
  </si>
  <si>
    <t>Layer 1 WA</t>
  </si>
  <si>
    <t>Layer 2 BS LR A+B</t>
  </si>
  <si>
    <t>Layer 2 BS UP</t>
  </si>
  <si>
    <t>Layer 2 WA</t>
  </si>
  <si>
    <t>Layer 3 BS UP+LR</t>
  </si>
  <si>
    <t>Layer 3 WA</t>
  </si>
  <si>
    <t>Layer BACO A</t>
  </si>
  <si>
    <t>Layer BACO B</t>
  </si>
  <si>
    <t>Layer BACO C</t>
  </si>
  <si>
    <t>Layer BACO D</t>
  </si>
  <si>
    <t>AgeBP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</si>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</sst>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4" workbookViewId="0">
      <selection activeCell="E2" sqref="E2:E26"/>
    </sheetView>
  </sheetViews>
  <sheetFormatPr defaultRowHeight="14.25" x14ac:dyDescent="0.45"/>
  <cols>
    <col min="1" max="1" width="15.86328125" bestFit="1" customWidth="1"/>
    <col min="2" max="2" width="10.796875" bestFit="1" customWidth="1"/>
    <col min="3" max="3" width="11.06640625" bestFit="1" customWidth="1"/>
    <col min="4" max="5" width="11.066406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3</v>
      </c>
    </row>
    <row r="2" spans="1:6" x14ac:dyDescent="0.45">
      <c r="A2" t="s">
        <v>4</v>
      </c>
      <c r="B2">
        <v>31</v>
      </c>
      <c r="C2">
        <v>41.2</v>
      </c>
      <c r="D2">
        <f>-((B2+C2)/2)*1000</f>
        <v>-36100</v>
      </c>
      <c r="E2">
        <f>(-1*D2)</f>
        <v>36100</v>
      </c>
      <c r="F2">
        <v>722</v>
      </c>
    </row>
    <row r="3" spans="1:6" x14ac:dyDescent="0.45">
      <c r="A3" t="s">
        <v>5</v>
      </c>
      <c r="B3">
        <v>75</v>
      </c>
      <c r="C3">
        <v>79</v>
      </c>
      <c r="D3">
        <f t="shared" ref="D3:D15" si="0">-((B3+C3)/2)*1000</f>
        <v>-77000</v>
      </c>
      <c r="E3">
        <f t="shared" ref="E3:E26" si="1">(-1*D3)</f>
        <v>77000</v>
      </c>
      <c r="F3">
        <v>4232</v>
      </c>
    </row>
    <row r="4" spans="1:6" x14ac:dyDescent="0.45">
      <c r="A4" t="s">
        <v>6</v>
      </c>
      <c r="B4">
        <v>75</v>
      </c>
      <c r="C4">
        <v>79</v>
      </c>
      <c r="D4">
        <f t="shared" si="0"/>
        <v>-77000</v>
      </c>
      <c r="E4">
        <f t="shared" si="1"/>
        <v>77000</v>
      </c>
      <c r="F4">
        <v>2753</v>
      </c>
    </row>
    <row r="5" spans="1:6" x14ac:dyDescent="0.45">
      <c r="A5" t="s">
        <v>7</v>
      </c>
      <c r="B5">
        <v>70</v>
      </c>
      <c r="C5">
        <v>78</v>
      </c>
      <c r="D5">
        <f t="shared" si="0"/>
        <v>-74000</v>
      </c>
      <c r="E5">
        <f t="shared" si="1"/>
        <v>74000</v>
      </c>
      <c r="F5">
        <v>6276</v>
      </c>
    </row>
    <row r="6" spans="1:6" x14ac:dyDescent="0.45">
      <c r="A6" t="s">
        <v>8</v>
      </c>
      <c r="B6">
        <v>33</v>
      </c>
      <c r="C6">
        <v>47.75</v>
      </c>
      <c r="D6">
        <f t="shared" si="0"/>
        <v>-40375</v>
      </c>
      <c r="E6">
        <f t="shared" si="1"/>
        <v>40375</v>
      </c>
      <c r="F6">
        <v>4729</v>
      </c>
    </row>
    <row r="7" spans="1:6" x14ac:dyDescent="0.45">
      <c r="A7" t="s">
        <v>9</v>
      </c>
      <c r="B7">
        <v>24.79</v>
      </c>
      <c r="C7">
        <v>55.38</v>
      </c>
      <c r="D7">
        <f t="shared" si="0"/>
        <v>-40085</v>
      </c>
      <c r="E7">
        <f t="shared" si="1"/>
        <v>40085</v>
      </c>
      <c r="F7">
        <v>406</v>
      </c>
    </row>
    <row r="8" spans="1:6" x14ac:dyDescent="0.45">
      <c r="A8" t="s">
        <v>10</v>
      </c>
      <c r="B8">
        <v>35</v>
      </c>
      <c r="C8">
        <v>51.4</v>
      </c>
      <c r="D8">
        <f t="shared" si="0"/>
        <v>-43200</v>
      </c>
      <c r="E8">
        <f t="shared" si="1"/>
        <v>43200</v>
      </c>
      <c r="F8">
        <v>369</v>
      </c>
    </row>
    <row r="9" spans="1:6" x14ac:dyDescent="0.45">
      <c r="A9" t="s">
        <v>11</v>
      </c>
      <c r="B9">
        <v>44.29</v>
      </c>
      <c r="C9">
        <v>63</v>
      </c>
      <c r="D9">
        <f t="shared" si="0"/>
        <v>-53644.999999999993</v>
      </c>
      <c r="E9">
        <f t="shared" si="1"/>
        <v>53644.999999999993</v>
      </c>
      <c r="F9">
        <v>780</v>
      </c>
    </row>
    <row r="10" spans="1:6" x14ac:dyDescent="0.45">
      <c r="A10" t="s">
        <v>12</v>
      </c>
      <c r="B10">
        <v>48.7</v>
      </c>
      <c r="C10">
        <v>76</v>
      </c>
      <c r="D10">
        <f t="shared" si="0"/>
        <v>-62350</v>
      </c>
      <c r="E10">
        <f t="shared" si="1"/>
        <v>62350</v>
      </c>
      <c r="F10">
        <v>1882</v>
      </c>
    </row>
    <row r="11" spans="1:6" x14ac:dyDescent="0.45">
      <c r="A11" t="s">
        <v>13</v>
      </c>
      <c r="B11">
        <v>39</v>
      </c>
      <c r="C11">
        <v>66</v>
      </c>
      <c r="D11">
        <f t="shared" si="0"/>
        <v>-52500</v>
      </c>
      <c r="E11">
        <f t="shared" si="1"/>
        <v>52500</v>
      </c>
      <c r="F11">
        <v>604</v>
      </c>
    </row>
    <row r="12" spans="1:6" x14ac:dyDescent="0.45">
      <c r="A12" t="s">
        <v>14</v>
      </c>
      <c r="B12">
        <v>133</v>
      </c>
      <c r="C12">
        <v>300</v>
      </c>
      <c r="D12">
        <f t="shared" si="0"/>
        <v>-216500</v>
      </c>
      <c r="E12">
        <f t="shared" si="1"/>
        <v>216500</v>
      </c>
      <c r="F12">
        <v>1098</v>
      </c>
    </row>
    <row r="13" spans="1:6" x14ac:dyDescent="0.45">
      <c r="A13" t="s">
        <v>15</v>
      </c>
      <c r="B13">
        <v>133</v>
      </c>
      <c r="C13">
        <v>300</v>
      </c>
      <c r="D13">
        <f t="shared" si="0"/>
        <v>-216500</v>
      </c>
      <c r="E13">
        <f t="shared" si="1"/>
        <v>216500</v>
      </c>
      <c r="F13">
        <v>5444</v>
      </c>
    </row>
    <row r="14" spans="1:6" x14ac:dyDescent="0.45">
      <c r="A14" t="s">
        <v>16</v>
      </c>
      <c r="B14">
        <v>133</v>
      </c>
      <c r="C14">
        <v>300</v>
      </c>
      <c r="D14">
        <f t="shared" si="0"/>
        <v>-216500</v>
      </c>
      <c r="E14">
        <f t="shared" si="1"/>
        <v>216500</v>
      </c>
      <c r="F14">
        <v>7936</v>
      </c>
    </row>
    <row r="15" spans="1:6" x14ac:dyDescent="0.45">
      <c r="A15" t="s">
        <v>17</v>
      </c>
      <c r="B15">
        <v>133</v>
      </c>
      <c r="C15">
        <v>300</v>
      </c>
      <c r="D15">
        <f t="shared" si="0"/>
        <v>-216500</v>
      </c>
      <c r="E15">
        <f t="shared" si="1"/>
        <v>216500</v>
      </c>
      <c r="F15">
        <v>2794</v>
      </c>
    </row>
    <row r="16" spans="1:6" x14ac:dyDescent="0.45">
      <c r="D16">
        <v>-24000</v>
      </c>
      <c r="E16">
        <f t="shared" si="1"/>
        <v>24000</v>
      </c>
      <c r="F16">
        <v>4</v>
      </c>
    </row>
    <row r="17" spans="4:6" x14ac:dyDescent="0.45">
      <c r="D17">
        <v>-38000</v>
      </c>
      <c r="E17">
        <f t="shared" si="1"/>
        <v>38000</v>
      </c>
      <c r="F17">
        <v>2498</v>
      </c>
    </row>
    <row r="18" spans="4:6" x14ac:dyDescent="0.45">
      <c r="D18">
        <v>-41000</v>
      </c>
      <c r="E18">
        <f t="shared" si="1"/>
        <v>41000</v>
      </c>
      <c r="F18">
        <v>1</v>
      </c>
    </row>
    <row r="19" spans="4:6" x14ac:dyDescent="0.45">
      <c r="D19">
        <v>-42000</v>
      </c>
      <c r="E19">
        <f t="shared" si="1"/>
        <v>42000</v>
      </c>
      <c r="F19">
        <v>19</v>
      </c>
    </row>
    <row r="20" spans="4:6" x14ac:dyDescent="0.45">
      <c r="D20">
        <v>-42500</v>
      </c>
      <c r="E20">
        <f t="shared" si="1"/>
        <v>42500</v>
      </c>
      <c r="F20">
        <v>1</v>
      </c>
    </row>
    <row r="21" spans="4:6" x14ac:dyDescent="0.45">
      <c r="D21">
        <v>-43000</v>
      </c>
      <c r="E21">
        <f t="shared" si="1"/>
        <v>43000</v>
      </c>
      <c r="F21">
        <v>6</v>
      </c>
    </row>
    <row r="22" spans="4:6" x14ac:dyDescent="0.45">
      <c r="D22">
        <v>-60000</v>
      </c>
      <c r="E22">
        <f t="shared" si="1"/>
        <v>60000</v>
      </c>
      <c r="F22">
        <v>1</v>
      </c>
    </row>
    <row r="23" spans="4:6" x14ac:dyDescent="0.45">
      <c r="D23">
        <v>-62000</v>
      </c>
      <c r="E23">
        <f t="shared" si="1"/>
        <v>62000</v>
      </c>
      <c r="F23">
        <v>1</v>
      </c>
    </row>
    <row r="24" spans="4:6" x14ac:dyDescent="0.45">
      <c r="D24">
        <v>-74000</v>
      </c>
      <c r="E24">
        <f t="shared" si="1"/>
        <v>74000</v>
      </c>
      <c r="F24">
        <v>1</v>
      </c>
    </row>
    <row r="25" spans="4:6" x14ac:dyDescent="0.45">
      <c r="D25">
        <v>-152500</v>
      </c>
      <c r="E25">
        <f t="shared" si="1"/>
        <v>152500</v>
      </c>
      <c r="F25">
        <v>284</v>
      </c>
    </row>
    <row r="26" spans="4:6" x14ac:dyDescent="0.45">
      <c r="D26">
        <v>-155000</v>
      </c>
      <c r="E26">
        <f t="shared" si="1"/>
        <v>155000</v>
      </c>
      <c r="F26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Arlia Dhevnanan (221006072)</cp:lastModifiedBy>
  <dcterms:created xsi:type="dcterms:W3CDTF">2026-05-22T17:39:28Z</dcterms:created>
  <dcterms:modified xsi:type="dcterms:W3CDTF">2026-08-09T13:56:23Z</dcterms:modified>
</cp:coreProperties>
</file>